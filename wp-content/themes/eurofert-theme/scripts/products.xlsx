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urofert\wp-content\themes\eurofert-theme\scripts\"/>
    </mc:Choice>
  </mc:AlternateContent>
  <xr:revisionPtr revIDLastSave="0" documentId="13_ncr:1_{7E8ACE77-1E9F-49CA-B4B9-BFDDDCBF0837}" xr6:coauthVersionLast="47" xr6:coauthVersionMax="47" xr10:uidLastSave="{00000000-0000-0000-0000-000000000000}"/>
  <bookViews>
    <workbookView xWindow="-108" yWindow="-108" windowWidth="23256" windowHeight="12456" xr2:uid="{76D0BCB8-E73B-4392-8B84-A7325E8578D8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B5" i="1"/>
  <c r="E3" i="1"/>
  <c r="E4" i="1"/>
  <c r="J4" i="1"/>
  <c r="B4" i="1"/>
  <c r="J3" i="1"/>
  <c r="B3" i="1"/>
  <c r="B2" i="1"/>
  <c r="J2" i="1" s="1"/>
  <c r="D22" i="1"/>
  <c r="D23" i="1"/>
  <c r="D24" i="1"/>
  <c r="D25" i="1"/>
  <c r="D26" i="1"/>
  <c r="D27" i="1"/>
  <c r="D28" i="1"/>
  <c r="D29" i="1"/>
  <c r="D30" i="1"/>
  <c r="J5" i="1" l="1"/>
  <c r="E2" i="1"/>
</calcChain>
</file>

<file path=xl/sharedStrings.xml><?xml version="1.0" encoding="utf-8"?>
<sst xmlns="http://schemas.openxmlformats.org/spreadsheetml/2006/main" count="33" uniqueCount="30">
  <si>
    <t>title</t>
  </si>
  <si>
    <t>slug</t>
  </si>
  <si>
    <t>content</t>
  </si>
  <si>
    <t>category_slug</t>
  </si>
  <si>
    <t>local_image_path</t>
  </si>
  <si>
    <t>subtitle</t>
  </si>
  <si>
    <t>key_benefits</t>
  </si>
  <si>
    <t>formula</t>
  </si>
  <si>
    <t>nutrient_rows</t>
  </si>
  <si>
    <t>recommendations_file_path</t>
  </si>
  <si>
    <t>Colfert Essential N</t>
  </si>
  <si>
    <t>A highly concentrated liquid nitrogen formulation containing three nitrogen forms: Nitric, Ammonium, and Ureic to ensure balanced nutrition and sustained growth. Plants absorb nitrogen primarily as Nitrate NO&lt;sub&gt;3&lt;/sub&gt;&lt;sup&gt;?&lt;/sup&gt; and Ammonium NH&lt;sub&gt;4&lt;/sub&gt;&lt;sup&gt;+&lt;/sup&gt; ions, while Urea converts to NO&lt;sub&gt;3&lt;/sub&gt;&lt;sup&gt;-&lt;/sup&gt;  after hydrolysis, ensuring continuous nitrogen availability.</t>
  </si>
  <si>
    <t>Suitable for foliar spraying and fertigation during vegetative growth to enhance vigor and leaf expansion.</t>
  </si>
  <si>
    <t>40-0-0</t>
  </si>
  <si>
    <t>Nitric-N | 11.0 \n Ammoniacal-N | 11.0 \n Ureic-N | 18.0</t>
  </si>
  <si>
    <t>colfert-essential</t>
  </si>
  <si>
    <t>Colfert Essential KTC</t>
  </si>
  <si>
    <t>A clear liquid fertilizer rich in Potassium complexed with Citric Acids with very low Chlorine content. The organic potassium citrate form ensures rapid uptake through both roots and leaves during potassium-demanding stages.</t>
  </si>
  <si>
    <t xml:space="preserve">0-0-36+ 50% </t>
  </si>
  <si>
    <t>Enhances fruit size, sugar content, and color development\n Improves soil properties, buffering capacity, and microbial activity.\nIncreases plant vitality, vigor, and disease resistance.</t>
  </si>
  <si>
    <t>Colfert Essential P</t>
  </si>
  <si>
    <t>Nitric-N|5.0/nAmmoniacal-N |1.5/nUreic-N | 3.5\np2o5|40.0\nK2O|5.0</t>
  </si>
  <si>
    <t>5-40-5</t>
  </si>
  <si>
    <t>A phosphorus-rich liquid fertilizer with a naturally acidic pH, ensuring optimum root adsorption and improved nutrient availability, especially in alkaline soils. Ideal for starter applications, root development, and flower induction.</t>
  </si>
  <si>
    <t>helps to balance the pH of alkaline spray solutions.</t>
  </si>
  <si>
    <t>Colfert Essential PK</t>
  </si>
  <si>
    <t>A fully water-soluble liquid fertilizer providing high concentrations of Phosphorus and Potassium.
It enhances flower initiation, fruit size, and total solids, while improving plant resilience to stress, disease, and unfavorable growing conditions.</t>
  </si>
  <si>
    <t>0-33-44</t>
  </si>
  <si>
    <t>P2O5 | 33%
K2O  | 44%</t>
  </si>
  <si>
    <t>K2O | 36.0 \n Organic Matter |50.0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</si>
</sst>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DF18-60EF-45E6-8A64-D7A75B72A210}">
  <dimension ref="A1:J30"/>
  <sheetViews>
    <sheetView tabSelected="1" topLeftCell="C1" workbookViewId="0">
      <selection activeCell="J5" sqref="J5"/>
    </sheetView>
  </sheetViews>
  <sheetFormatPr defaultRowHeight="14.4" x14ac:dyDescent="0.3"/>
  <cols>
    <col min="1" max="1" width="17.6640625" bestFit="1" customWidth="1"/>
    <col min="2" max="2" width="15.88671875" bestFit="1" customWidth="1"/>
    <col min="3" max="3" width="30.44140625" customWidth="1"/>
    <col min="4" max="4" width="16.5546875" bestFit="1" customWidth="1"/>
    <col min="5" max="5" width="25.109375" style="1" customWidth="1"/>
    <col min="6" max="6" width="41.5546875" bestFit="1" customWidth="1"/>
    <col min="7" max="7" width="32.77734375" customWidth="1"/>
    <col min="8" max="8" width="11.5546875" bestFit="1" customWidth="1"/>
    <col min="9" max="9" width="18.5546875" customWidth="1"/>
    <col min="10" max="10" width="26.21875" style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</row>
    <row r="2" spans="1:10" x14ac:dyDescent="0.3">
      <c r="A2" t="s">
        <v>10</v>
      </c>
      <c r="B2" t="str">
        <f>SUBSTITUTE(LOWER(A2), " ", "-")</f>
        <v>colfert-essential-n</v>
      </c>
      <c r="C2" t="s">
        <v>11</v>
      </c>
      <c r="D2" t="s">
        <v>15</v>
      </c>
      <c r="E2" s="1" t="str">
        <f>IF(B2="","", B2 &amp; ".webp")</f>
        <v>colfert-essential-n.webp</v>
      </c>
      <c r="G2" t="s">
        <v>12</v>
      </c>
      <c r="H2" t="s">
        <v>13</v>
      </c>
      <c r="I2" t="s">
        <v>14</v>
      </c>
      <c r="J2" s="1" t="str">
        <f>IF(B2="","", B2 &amp; ".json")</f>
        <v>colfert-essential-n.json</v>
      </c>
    </row>
    <row r="3" spans="1:10" x14ac:dyDescent="0.3">
      <c r="A3" t="s">
        <v>16</v>
      </c>
      <c r="B3" t="str">
        <f>SUBSTITUTE(LOWER(A3), " ", "-")</f>
        <v>colfert-essential-ktc</v>
      </c>
      <c r="C3" t="s">
        <v>17</v>
      </c>
      <c r="D3" t="s">
        <v>15</v>
      </c>
      <c r="E3" s="1" t="str">
        <f>IF(B3="","", B3 &amp; ".webp")</f>
        <v>colfert-essential-ktc.webp</v>
      </c>
      <c r="G3" t="s">
        <v>19</v>
      </c>
      <c r="H3" t="s">
        <v>18</v>
      </c>
      <c r="I3" t="s">
        <v>29</v>
      </c>
      <c r="J3" s="1" t="str">
        <f>IF(B3="","", B3 &amp; ".json")</f>
        <v>colfert-essential-ktc.json</v>
      </c>
    </row>
    <row r="4" spans="1:10" ht="24" customHeight="1" x14ac:dyDescent="0.3">
      <c r="A4" t="s">
        <v>20</v>
      </c>
      <c r="B4" t="str">
        <f t="shared" ref="B4:B5" si="0">SUBSTITUTE(LOWER(A4), " ", "-")</f>
        <v>colfert-essential-p</v>
      </c>
      <c r="C4" s="1" t="s">
        <v>23</v>
      </c>
      <c r="D4" t="s">
        <v>15</v>
      </c>
      <c r="E4" s="1" t="str">
        <f t="shared" ref="E4:E5" si="1">IF(B4="","", B4 &amp; ".webp")</f>
        <v>colfert-essential-p.webp</v>
      </c>
      <c r="F4" t="s">
        <v>24</v>
      </c>
      <c r="H4" t="s">
        <v>22</v>
      </c>
      <c r="I4" t="s">
        <v>21</v>
      </c>
      <c r="J4" s="1" t="str">
        <f>IF(B4="","", B4 &amp; ".json")</f>
        <v>colfert-essential-p.json</v>
      </c>
    </row>
    <row r="5" spans="1:10" ht="115.2" x14ac:dyDescent="0.3">
      <c r="A5" t="s">
        <v>25</v>
      </c>
      <c r="B5" t="str">
        <f t="shared" si="0"/>
        <v>colfert-essential-pk</v>
      </c>
      <c r="C5" s="1" t="s">
        <v>26</v>
      </c>
      <c r="D5" t="s">
        <v>15</v>
      </c>
      <c r="E5" s="1" t="str">
        <f t="shared" si="1"/>
        <v>colfert-essential-pk.webp</v>
      </c>
      <c r="H5" t="s">
        <v>27</v>
      </c>
      <c r="I5" s="1" t="s">
        <v>28</v>
      </c>
      <c r="J5" s="1" t="str">
        <f>IF(B5="","", B5 &amp; ".json")</f>
        <v>colfert-essential-pk.json</v>
      </c>
    </row>
    <row r="22" spans="4:4" x14ac:dyDescent="0.3">
      <c r="D22" t="str">
        <f t="shared" ref="D22:D30" si="2">SUBSTITUTE(LOWER(A22), " ", "-")</f>
        <v/>
      </c>
    </row>
    <row r="23" spans="4:4" x14ac:dyDescent="0.3">
      <c r="D23" t="str">
        <f t="shared" si="2"/>
        <v/>
      </c>
    </row>
    <row r="24" spans="4:4" x14ac:dyDescent="0.3">
      <c r="D24" t="str">
        <f t="shared" si="2"/>
        <v/>
      </c>
    </row>
    <row r="25" spans="4:4" x14ac:dyDescent="0.3">
      <c r="D25" t="str">
        <f t="shared" si="2"/>
        <v/>
      </c>
    </row>
    <row r="26" spans="4:4" x14ac:dyDescent="0.3">
      <c r="D26" t="str">
        <f t="shared" si="2"/>
        <v/>
      </c>
    </row>
    <row r="27" spans="4:4" x14ac:dyDescent="0.3">
      <c r="D27" t="str">
        <f t="shared" si="2"/>
        <v/>
      </c>
    </row>
    <row r="28" spans="4:4" x14ac:dyDescent="0.3">
      <c r="D28" t="str">
        <f t="shared" si="2"/>
        <v/>
      </c>
    </row>
    <row r="29" spans="4:4" x14ac:dyDescent="0.3">
      <c r="D29" t="str">
        <f t="shared" si="2"/>
        <v/>
      </c>
    </row>
    <row r="30" spans="4:4" x14ac:dyDescent="0.3">
      <c r="D30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Safieddine</dc:creator>
  <cp:lastModifiedBy>ahmad safieddine</cp:lastModifiedBy>
  <dcterms:created xsi:type="dcterms:W3CDTF">2026-04-09T09:41:13Z</dcterms:created>
  <dcterms:modified xsi:type="dcterms:W3CDTF">2026-05-12T22:20:01Z</dcterms:modified>
</cp:coreProperties>
</file>